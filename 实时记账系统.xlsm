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比赛\欧莱雅\线下销售记账系统\"/>
    </mc:Choice>
  </mc:AlternateContent>
  <xr:revisionPtr revIDLastSave="0" documentId="13_ncr:1_{C35C1BE5-BE41-4249-9CA9-8652C86DA43B}" xr6:coauthVersionLast="45" xr6:coauthVersionMax="45" xr10:uidLastSave="{00000000-0000-0000-0000-000000000000}"/>
  <bookViews>
    <workbookView xWindow="20370" yWindow="-120" windowWidth="21840" windowHeight="13140" xr2:uid="{00000000-000D-0000-FFFF-FFFF00000000}"/>
  </bookViews>
  <sheets>
    <sheet name="实时交易记录" sheetId="1" r:id="rId1"/>
    <sheet name="库存设置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" i="1" l="1"/>
  <c r="N9" i="1"/>
  <c r="N8" i="1"/>
  <c r="N7" i="1"/>
  <c r="M10" i="1"/>
  <c r="M9" i="1"/>
  <c r="M8" i="1"/>
  <c r="M7" i="1"/>
  <c r="L8" i="1"/>
  <c r="L9" i="1"/>
  <c r="L10" i="1"/>
  <c r="L7" i="1"/>
  <c r="O7" i="1" l="1"/>
  <c r="E3" i="2"/>
  <c r="E4" i="2"/>
  <c r="E5" i="2"/>
  <c r="E2" i="2"/>
</calcChain>
</file>

<file path=xl/sharedStrings.xml><?xml version="1.0" encoding="utf-8"?>
<sst xmlns="http://schemas.openxmlformats.org/spreadsheetml/2006/main" count="27" uniqueCount="24">
  <si>
    <t>时间</t>
    <phoneticPr fontId="1" type="noConversion"/>
  </si>
  <si>
    <t>产品种类</t>
    <phoneticPr fontId="1" type="noConversion"/>
  </si>
  <si>
    <t>产品名称</t>
    <phoneticPr fontId="1" type="noConversion"/>
  </si>
  <si>
    <t>单价</t>
    <phoneticPr fontId="1" type="noConversion"/>
  </si>
  <si>
    <t>数量</t>
    <phoneticPr fontId="1" type="noConversion"/>
  </si>
  <si>
    <t>产品名称</t>
    <phoneticPr fontId="1" type="noConversion"/>
  </si>
  <si>
    <t>面霜</t>
    <phoneticPr fontId="1" type="noConversion"/>
  </si>
  <si>
    <t>口红</t>
    <phoneticPr fontId="1" type="noConversion"/>
  </si>
  <si>
    <t>护手霜</t>
    <phoneticPr fontId="1" type="noConversion"/>
  </si>
  <si>
    <t>现场余量</t>
    <phoneticPr fontId="1" type="noConversion"/>
  </si>
  <si>
    <t>库存余量</t>
    <phoneticPr fontId="1" type="noConversion"/>
  </si>
  <si>
    <t>总余量</t>
    <phoneticPr fontId="1" type="noConversion"/>
  </si>
  <si>
    <t>香水</t>
    <phoneticPr fontId="1" type="noConversion"/>
  </si>
  <si>
    <t>单笔收入</t>
    <phoneticPr fontId="1" type="noConversion"/>
  </si>
  <si>
    <t>销售统计</t>
    <phoneticPr fontId="1" type="noConversion"/>
  </si>
  <si>
    <t>种类</t>
    <phoneticPr fontId="1" type="noConversion"/>
  </si>
  <si>
    <t>名称</t>
    <phoneticPr fontId="1" type="noConversion"/>
  </si>
  <si>
    <t>销售量</t>
    <phoneticPr fontId="1" type="noConversion"/>
  </si>
  <si>
    <t>产品销售额</t>
    <phoneticPr fontId="1" type="noConversion"/>
  </si>
  <si>
    <t>总收入</t>
    <phoneticPr fontId="1" type="noConversion"/>
  </si>
  <si>
    <t>面霜</t>
  </si>
  <si>
    <t>口红</t>
  </si>
  <si>
    <t>护手霜</t>
  </si>
  <si>
    <t>香水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</si>
</sst>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161925</xdr:rowOff>
        </xdr:from>
        <xdr:to>
          <xdr:col>9</xdr:col>
          <xdr:colOff>590550</xdr:colOff>
          <xdr:row>3</xdr:row>
          <xdr:rowOff>142875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4"/>
  <sheetViews>
    <sheetView tabSelected="1" workbookViewId="0">
      <selection activeCell="F20" sqref="F20"/>
    </sheetView>
  </sheetViews>
  <sheetFormatPr defaultRowHeight="13.5" x14ac:dyDescent="0.15"/>
  <cols>
    <col min="1" max="1" width="13.375" style="1" customWidth="1"/>
    <col min="2" max="2" width="11.75" style="1" customWidth="1"/>
    <col min="3" max="3" width="11.25" style="1" customWidth="1"/>
    <col min="4" max="4" width="7.375" style="1" customWidth="1"/>
    <col min="5" max="5" width="8.375" style="1" customWidth="1"/>
    <col min="6" max="6" width="11" style="1" customWidth="1"/>
    <col min="7" max="13" width="9" style="1"/>
    <col min="14" max="14" width="18.125" style="1" customWidth="1"/>
    <col min="15" max="16384" width="9" style="1"/>
  </cols>
  <sheetData>
    <row r="1" spans="1: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13</v>
      </c>
    </row>
    <row r="2" spans="1:15" x14ac:dyDescent="0.15">
      <c r="A2" s="2">
        <v>0.80085648148148147</v>
      </c>
      <c r="B2" s="1">
        <v>1</v>
      </c>
      <c r="C2" s="1" t="s">
        <v>20</v>
      </c>
      <c r="D2" s="1">
        <v>13</v>
      </c>
      <c r="E2" s="1">
        <v>1</v>
      </c>
      <c r="F2" s="1">
        <v>13</v>
      </c>
      <c r="L2" s="5"/>
      <c r="M2" s="5"/>
    </row>
    <row r="3" spans="1:15" x14ac:dyDescent="0.15">
      <c r="A3" s="2">
        <v>0.80085648148148147</v>
      </c>
      <c r="B3" s="1">
        <v>2</v>
      </c>
      <c r="C3" s="1" t="s">
        <v>21</v>
      </c>
      <c r="D3" s="1">
        <v>6</v>
      </c>
      <c r="E3" s="1">
        <v>10</v>
      </c>
      <c r="F3" s="1">
        <v>60</v>
      </c>
    </row>
    <row r="4" spans="1:15" x14ac:dyDescent="0.15">
      <c r="A4" s="2">
        <v>0.80085648148148147</v>
      </c>
      <c r="B4" s="1">
        <v>3</v>
      </c>
      <c r="C4" s="1" t="s">
        <v>22</v>
      </c>
      <c r="D4" s="1">
        <v>4</v>
      </c>
      <c r="E4" s="1">
        <v>1</v>
      </c>
      <c r="F4" s="1">
        <v>4</v>
      </c>
    </row>
    <row r="5" spans="1:15" x14ac:dyDescent="0.15">
      <c r="A5" s="2">
        <v>0.80085648148148147</v>
      </c>
      <c r="B5" s="1">
        <v>4</v>
      </c>
      <c r="C5" s="1" t="s">
        <v>23</v>
      </c>
      <c r="D5" s="1">
        <v>12</v>
      </c>
      <c r="E5" s="1">
        <v>5</v>
      </c>
      <c r="F5" s="1">
        <v>60</v>
      </c>
      <c r="K5" s="6" t="s">
        <v>14</v>
      </c>
      <c r="L5" s="6"/>
      <c r="M5" s="6"/>
      <c r="N5" s="6"/>
      <c r="O5" s="6"/>
    </row>
    <row r="6" spans="1:15" x14ac:dyDescent="0.15">
      <c r="A6" s="2">
        <v>0.80145833333333327</v>
      </c>
      <c r="B6" s="1">
        <v>1</v>
      </c>
      <c r="C6" s="1" t="s">
        <v>20</v>
      </c>
      <c r="D6" s="1">
        <v>13</v>
      </c>
      <c r="E6" s="1">
        <v>100</v>
      </c>
      <c r="F6" s="1">
        <v>1300</v>
      </c>
      <c r="K6" s="3" t="s">
        <v>15</v>
      </c>
      <c r="L6" s="3" t="s">
        <v>16</v>
      </c>
      <c r="M6" s="3" t="s">
        <v>17</v>
      </c>
      <c r="N6" s="3" t="s">
        <v>18</v>
      </c>
      <c r="O6" s="3" t="s">
        <v>19</v>
      </c>
    </row>
    <row r="7" spans="1:15" x14ac:dyDescent="0.15">
      <c r="A7" s="2"/>
      <c r="K7" s="3">
        <v>1</v>
      </c>
      <c r="L7" s="3" t="str">
        <f>VLOOKUP(K7,库存设置!$A$2:$B$5,2)</f>
        <v>面霜</v>
      </c>
      <c r="M7" s="3">
        <f>SUMIFS(E:E,B:B,1)</f>
        <v>101</v>
      </c>
      <c r="N7" s="3">
        <f>SUMIFS(F:F,B:B,1)</f>
        <v>1313</v>
      </c>
      <c r="O7" s="3">
        <f>SUM(N:N)</f>
        <v>1437</v>
      </c>
    </row>
    <row r="8" spans="1:15" x14ac:dyDescent="0.15">
      <c r="A8" s="2"/>
      <c r="K8" s="3">
        <v>2</v>
      </c>
      <c r="L8" s="3" t="str">
        <f>VLOOKUP(K8,库存设置!$A$2:$B$5,2)</f>
        <v>口红</v>
      </c>
      <c r="M8" s="3">
        <f>SUMIFS(E:E,B:B,2)</f>
        <v>10</v>
      </c>
      <c r="N8" s="3">
        <f>SUMIFS(F:F,B:B,2)</f>
        <v>60</v>
      </c>
      <c r="O8" s="4"/>
    </row>
    <row r="9" spans="1:15" x14ac:dyDescent="0.15">
      <c r="A9" s="2"/>
      <c r="K9" s="3">
        <v>3</v>
      </c>
      <c r="L9" s="3" t="str">
        <f>VLOOKUP(K9,库存设置!$A$2:$B$5,2)</f>
        <v>护手霜</v>
      </c>
      <c r="M9" s="3">
        <f>SUMIFS(E:E,B:B,3)</f>
        <v>1</v>
      </c>
      <c r="N9" s="3">
        <f>SUMIFS(F:F,B:B,3)</f>
        <v>4</v>
      </c>
      <c r="O9" s="4"/>
    </row>
    <row r="10" spans="1:15" x14ac:dyDescent="0.15">
      <c r="A10" s="2"/>
      <c r="K10" s="3">
        <v>4</v>
      </c>
      <c r="L10" s="3" t="str">
        <f>VLOOKUP(K10,库存设置!$A$2:$B$5,2)</f>
        <v>香水</v>
      </c>
      <c r="M10" s="3">
        <f>SUMIFS(E:E,B:B,4)</f>
        <v>5</v>
      </c>
      <c r="N10" s="3">
        <f>SUMIFS(F:F,B:B,4)</f>
        <v>60</v>
      </c>
      <c r="O10" s="4"/>
    </row>
    <row r="11" spans="1:15" x14ac:dyDescent="0.15">
      <c r="A11" s="2"/>
    </row>
    <row r="12" spans="1:15" x14ac:dyDescent="0.15">
      <c r="A12" s="2"/>
    </row>
    <row r="13" spans="1:15" x14ac:dyDescent="0.15">
      <c r="A13" s="2"/>
    </row>
    <row r="14" spans="1:15" x14ac:dyDescent="0.15">
      <c r="A14" s="2"/>
    </row>
  </sheetData>
  <mergeCells count="2">
    <mergeCell ref="L2:M2"/>
    <mergeCell ref="K5:O5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1">
          <controlPr defaultSize="0" autoLine="0" r:id="rId4">
            <anchor moveWithCells="1">
              <from>
                <xdr:col>6</xdr:col>
                <xdr:colOff>638175</xdr:colOff>
                <xdr:row>0</xdr:row>
                <xdr:rowOff>161925</xdr:rowOff>
              </from>
              <to>
                <xdr:col>9</xdr:col>
                <xdr:colOff>590550</xdr:colOff>
                <xdr:row>3</xdr:row>
                <xdr:rowOff>142875</xdr:rowOff>
              </to>
            </anchor>
          </controlPr>
        </control>
      </mc:Choice>
      <mc:Fallback>
        <control shapeId="512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5"/>
  <sheetViews>
    <sheetView workbookViewId="0">
      <selection activeCell="F6" sqref="F6"/>
    </sheetView>
  </sheetViews>
  <sheetFormatPr defaultRowHeight="13.5" x14ac:dyDescent="0.15"/>
  <cols>
    <col min="1" max="16384" width="9" style="1"/>
  </cols>
  <sheetData>
    <row r="1" spans="1:6" x14ac:dyDescent="0.15">
      <c r="A1" s="1" t="s">
        <v>1</v>
      </c>
      <c r="B1" s="1" t="s">
        <v>5</v>
      </c>
      <c r="C1" s="1" t="s">
        <v>9</v>
      </c>
      <c r="D1" s="1" t="s">
        <v>10</v>
      </c>
      <c r="E1" s="1" t="s">
        <v>11</v>
      </c>
      <c r="F1" s="1" t="s">
        <v>3</v>
      </c>
    </row>
    <row r="2" spans="1:6" x14ac:dyDescent="0.15">
      <c r="A2" s="1">
        <v>1</v>
      </c>
      <c r="B2" s="1" t="s">
        <v>6</v>
      </c>
      <c r="C2" s="1">
        <v>77</v>
      </c>
      <c r="D2" s="1">
        <v>200</v>
      </c>
      <c r="E2" s="1">
        <f>C2+D2</f>
        <v>277</v>
      </c>
      <c r="F2" s="1">
        <v>13</v>
      </c>
    </row>
    <row r="3" spans="1:6" x14ac:dyDescent="0.15">
      <c r="A3" s="1">
        <v>2</v>
      </c>
      <c r="B3" s="1" t="s">
        <v>7</v>
      </c>
      <c r="C3" s="1">
        <v>154</v>
      </c>
      <c r="D3" s="1">
        <v>200</v>
      </c>
      <c r="E3" s="1">
        <f t="shared" ref="E3:E5" si="0">C3+D3</f>
        <v>354</v>
      </c>
      <c r="F3" s="1">
        <v>6</v>
      </c>
    </row>
    <row r="4" spans="1:6" x14ac:dyDescent="0.15">
      <c r="A4" s="1">
        <v>3</v>
      </c>
      <c r="B4" s="1" t="s">
        <v>8</v>
      </c>
      <c r="C4" s="1">
        <v>178</v>
      </c>
      <c r="D4" s="1">
        <v>200</v>
      </c>
      <c r="E4" s="1">
        <f t="shared" si="0"/>
        <v>378</v>
      </c>
      <c r="F4" s="1">
        <v>4</v>
      </c>
    </row>
    <row r="5" spans="1:6" x14ac:dyDescent="0.15">
      <c r="A5" s="1">
        <v>4</v>
      </c>
      <c r="B5" s="1" t="s">
        <v>12</v>
      </c>
      <c r="C5" s="1">
        <v>162</v>
      </c>
      <c r="D5" s="1">
        <v>200</v>
      </c>
      <c r="E5" s="1">
        <f t="shared" si="0"/>
        <v>362</v>
      </c>
      <c r="F5" s="1"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实时交易记录</vt:lpstr>
      <vt:lpstr>库存设置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菲尼克莱得曼</dc:creator>
  <cp:lastModifiedBy>黄泽睿</cp:lastModifiedBy>
  <dcterms:created xsi:type="dcterms:W3CDTF">2017-03-12T05:52:59Z</dcterms:created>
  <dcterms:modified xsi:type="dcterms:W3CDTF">2020-02-08T11:15:40Z</dcterms:modified>
</cp:coreProperties>
</file>